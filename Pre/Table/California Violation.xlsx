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ng/Desktop/Pre/Table/"/>
    </mc:Choice>
  </mc:AlternateContent>
  <xr:revisionPtr revIDLastSave="0" documentId="13_ncr:1_{BA791DE7-1139-0D40-8331-B3A1BC03D043}" xr6:coauthVersionLast="36" xr6:coauthVersionMax="36" xr10:uidLastSave="{00000000-0000-0000-0000-000000000000}"/>
  <bookViews>
    <workbookView xWindow="280" yWindow="460" windowWidth="28240" windowHeight="16080" activeTab="1" xr2:uid="{00000000-000D-0000-FFFF-FFFF00000000}"/>
  </bookViews>
  <sheets>
    <sheet name="California Violation" sheetId="1" r:id="rId1"/>
    <sheet name="Calculation" sheetId="2" r:id="rId2"/>
  </sheets>
  <calcPr calcId="181029"/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2" i="1"/>
  <c r="G13" i="1"/>
  <c r="G14" i="1"/>
  <c r="G15" i="1"/>
  <c r="G16" i="1"/>
  <c r="G17" i="1"/>
  <c r="G12" i="1"/>
  <c r="F13" i="1"/>
  <c r="F14" i="1"/>
  <c r="F15" i="1"/>
  <c r="F16" i="1"/>
  <c r="F17" i="1"/>
  <c r="F12" i="1"/>
  <c r="E13" i="1"/>
  <c r="E14" i="1"/>
  <c r="E15" i="1"/>
  <c r="E16" i="1"/>
  <c r="E17" i="1"/>
  <c r="E12" i="1"/>
  <c r="D13" i="1"/>
  <c r="D14" i="1"/>
  <c r="D15" i="1"/>
  <c r="D16" i="1"/>
  <c r="D17" i="1"/>
  <c r="D12" i="1"/>
  <c r="C14" i="1"/>
  <c r="C15" i="1"/>
  <c r="C16" i="1"/>
  <c r="C17" i="1"/>
  <c r="C13" i="1"/>
  <c r="C12" i="1"/>
  <c r="H11" i="1"/>
  <c r="G11" i="1"/>
  <c r="F11" i="1"/>
  <c r="E11" i="1"/>
  <c r="D11" i="1"/>
  <c r="C11" i="1"/>
  <c r="H4" i="1"/>
  <c r="H5" i="1"/>
  <c r="H6" i="1"/>
  <c r="H7" i="1"/>
  <c r="H8" i="1"/>
  <c r="H3" i="1"/>
  <c r="H2" i="1"/>
</calcChain>
</file>

<file path=xl/sharedStrings.xml><?xml version="1.0" encoding="utf-8"?>
<sst xmlns="http://schemas.openxmlformats.org/spreadsheetml/2006/main" count="55" uniqueCount="29">
  <si>
    <t>population</t>
  </si>
  <si>
    <t>0~500</t>
  </si>
  <si>
    <t>501~3300</t>
  </si>
  <si>
    <t>3301~10000</t>
  </si>
  <si>
    <t>10001~100000</t>
  </si>
  <si>
    <t>&gt;100000</t>
  </si>
  <si>
    <t>health based violation</t>
  </si>
  <si>
    <t>maximum contaminant levels violation</t>
  </si>
  <si>
    <t>treatment technolgy violation</t>
  </si>
  <si>
    <t>systems with health based violation</t>
  </si>
  <si>
    <t>systems with maximum contaminant levels violation</t>
  </si>
  <si>
    <t>systems with treatment technolgy violation</t>
  </si>
  <si>
    <t>total community water systems</t>
  </si>
  <si>
    <t>Sum</t>
    <phoneticPr fontId="18" type="noConversion"/>
  </si>
  <si>
    <t>health based violations per problematic system</t>
  </si>
  <si>
    <t>maximum contaminant levels violations per problematic system</t>
  </si>
  <si>
    <t>treatment technology violations per problematic system</t>
  </si>
  <si>
    <t>percentage of systems with health based violations</t>
  </si>
  <si>
    <t>percentage of systems with maximum contaminant levels violations</t>
  </si>
  <si>
    <t>percentage of systems with treatment technology violations</t>
  </si>
  <si>
    <t xml:space="preserve"> system with health based violations-max</t>
    <phoneticPr fontId="18" type="noConversion"/>
  </si>
  <si>
    <t xml:space="preserve"> system with health based violations-mean</t>
    <phoneticPr fontId="18" type="noConversion"/>
  </si>
  <si>
    <t xml:space="preserve"> system with health based violations-min</t>
    <phoneticPr fontId="18" type="noConversion"/>
  </si>
  <si>
    <t>system with maximum contaminant levels violations-max</t>
    <phoneticPr fontId="18" type="noConversion"/>
  </si>
  <si>
    <t>system with maximum contaminant levels violations-mean</t>
    <phoneticPr fontId="18" type="noConversion"/>
  </si>
  <si>
    <t>system with maximum contaminant levels violations-min</t>
    <phoneticPr fontId="18" type="noConversion"/>
  </si>
  <si>
    <t>system with treatment technology violations-max</t>
    <phoneticPr fontId="18" type="noConversion"/>
  </si>
  <si>
    <t>system with treatment technology violations-mean</t>
    <phoneticPr fontId="18" type="noConversion"/>
  </si>
  <si>
    <t>system with treatment technology violations-min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</si>
</sst>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Calculation!$A$2</c:f>
              <c:strCache>
                <c:ptCount val="1"/>
                <c:pt idx="0">
                  <c:v>health based violations per problematic system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Calculation!$B$1:$F$1</c:f>
              <c:strCache>
                <c:ptCount val="5"/>
                <c:pt idx="0">
                  <c:v>0~500</c:v>
                </c:pt>
                <c:pt idx="1">
                  <c:v>501~3300</c:v>
                </c:pt>
                <c:pt idx="2">
                  <c:v>3301~10000</c:v>
                </c:pt>
                <c:pt idx="3">
                  <c:v>10001~100000</c:v>
                </c:pt>
                <c:pt idx="4">
                  <c:v>&gt;100000</c:v>
                </c:pt>
              </c:strCache>
            </c:strRef>
          </c:cat>
          <c:val>
            <c:numRef>
              <c:f>Calculation!$B$2:$F$2</c:f>
              <c:numCache>
                <c:formatCode>General</c:formatCode>
                <c:ptCount val="5"/>
                <c:pt idx="0">
                  <c:v>8.2899999999999991</c:v>
                </c:pt>
                <c:pt idx="1">
                  <c:v>9.02</c:v>
                </c:pt>
                <c:pt idx="2">
                  <c:v>6.83</c:v>
                </c:pt>
                <c:pt idx="3">
                  <c:v>7.04</c:v>
                </c:pt>
                <c:pt idx="4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8-6748-9DBE-22E8083B930C}"/>
            </c:ext>
          </c:extLst>
        </c:ser>
        <c:ser>
          <c:idx val="1"/>
          <c:order val="1"/>
          <c:tx>
            <c:strRef>
              <c:f>Calculation!$A$3</c:f>
              <c:strCache>
                <c:ptCount val="1"/>
                <c:pt idx="0">
                  <c:v>maximum contaminant levels violations per problematic system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Calculation!$B$1:$F$1</c:f>
              <c:strCache>
                <c:ptCount val="5"/>
                <c:pt idx="0">
                  <c:v>0~500</c:v>
                </c:pt>
                <c:pt idx="1">
                  <c:v>501~3300</c:v>
                </c:pt>
                <c:pt idx="2">
                  <c:v>3301~10000</c:v>
                </c:pt>
                <c:pt idx="3">
                  <c:v>10001~100000</c:v>
                </c:pt>
                <c:pt idx="4">
                  <c:v>&gt;100000</c:v>
                </c:pt>
              </c:strCache>
            </c:strRef>
          </c:cat>
          <c:val>
            <c:numRef>
              <c:f>Calculation!$B$3:$F$3</c:f>
              <c:numCache>
                <c:formatCode>General</c:formatCode>
                <c:ptCount val="5"/>
                <c:pt idx="0">
                  <c:v>7.94</c:v>
                </c:pt>
                <c:pt idx="1">
                  <c:v>9.2200000000000006</c:v>
                </c:pt>
                <c:pt idx="2">
                  <c:v>6.77</c:v>
                </c:pt>
                <c:pt idx="3">
                  <c:v>7.34</c:v>
                </c:pt>
                <c:pt idx="4">
                  <c:v>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8-6748-9DBE-22E8083B930C}"/>
            </c:ext>
          </c:extLst>
        </c:ser>
        <c:ser>
          <c:idx val="2"/>
          <c:order val="2"/>
          <c:tx>
            <c:strRef>
              <c:f>Calculation!$A$4</c:f>
              <c:strCache>
                <c:ptCount val="1"/>
                <c:pt idx="0">
                  <c:v>treatment technology violations per problematic system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Calculation!$B$1:$F$1</c:f>
              <c:strCache>
                <c:ptCount val="5"/>
                <c:pt idx="0">
                  <c:v>0~500</c:v>
                </c:pt>
                <c:pt idx="1">
                  <c:v>501~3300</c:v>
                </c:pt>
                <c:pt idx="2">
                  <c:v>3301~10000</c:v>
                </c:pt>
                <c:pt idx="3">
                  <c:v>10001~100000</c:v>
                </c:pt>
                <c:pt idx="4">
                  <c:v>&gt;100000</c:v>
                </c:pt>
              </c:strCache>
            </c:strRef>
          </c:cat>
          <c:val>
            <c:numRef>
              <c:f>Calculation!$B$4:$F$4</c:f>
              <c:numCache>
                <c:formatCode>General</c:formatCode>
                <c:ptCount val="5"/>
                <c:pt idx="0">
                  <c:v>5.81</c:v>
                </c:pt>
                <c:pt idx="1">
                  <c:v>2.73</c:v>
                </c:pt>
                <c:pt idx="2">
                  <c:v>2.02</c:v>
                </c:pt>
                <c:pt idx="3">
                  <c:v>1.52</c:v>
                </c:pt>
                <c:pt idx="4">
                  <c:v>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18-6748-9DBE-22E8083B93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36203903"/>
        <c:axId val="2035989295"/>
      </c:barChart>
      <c:catAx>
        <c:axId val="203620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Average</a:t>
                </a:r>
                <a:r>
                  <a:rPr lang="zh-CN" altLang="en-US"/>
                  <a:t> </a:t>
                </a:r>
                <a:r>
                  <a:rPr lang="en-US" altLang="zh-CN"/>
                  <a:t>Amount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for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every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problematic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systems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89295"/>
        <c:crosses val="autoZero"/>
        <c:auto val="1"/>
        <c:lblAlgn val="ctr"/>
        <c:lblOffset val="100"/>
        <c:noMultiLvlLbl val="0"/>
      </c:catAx>
      <c:valAx>
        <c:axId val="2035989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3620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Calculation!$A$5</c:f>
              <c:strCache>
                <c:ptCount val="1"/>
                <c:pt idx="0">
                  <c:v>percentage of systems with health based violations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Calculation!$B$1:$F$1</c:f>
              <c:strCache>
                <c:ptCount val="5"/>
                <c:pt idx="0">
                  <c:v>0~500</c:v>
                </c:pt>
                <c:pt idx="1">
                  <c:v>501~3300</c:v>
                </c:pt>
                <c:pt idx="2">
                  <c:v>3301~10000</c:v>
                </c:pt>
                <c:pt idx="3">
                  <c:v>10001~100000</c:v>
                </c:pt>
                <c:pt idx="4">
                  <c:v>&gt;100000</c:v>
                </c:pt>
              </c:strCache>
            </c:strRef>
          </c:cat>
          <c:val>
            <c:numRef>
              <c:f>Calculation!$B$5:$F$5</c:f>
              <c:numCache>
                <c:formatCode>0.00%</c:formatCode>
                <c:ptCount val="5"/>
                <c:pt idx="0">
                  <c:v>0.64139999999999997</c:v>
                </c:pt>
                <c:pt idx="1">
                  <c:v>0.69810000000000005</c:v>
                </c:pt>
                <c:pt idx="2">
                  <c:v>0.70269999999999999</c:v>
                </c:pt>
                <c:pt idx="3">
                  <c:v>0.70889999999999997</c:v>
                </c:pt>
                <c:pt idx="4">
                  <c:v>0.63639999999999997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D-CC4E-9364-DAAB04717186}"/>
            </c:ext>
          </c:extLst>
        </c:ser>
        <c:ser>
          <c:idx val="1"/>
          <c:order val="1"/>
          <c:tx>
            <c:strRef>
              <c:f>Calculation!$A$6</c:f>
              <c:strCache>
                <c:ptCount val="1"/>
                <c:pt idx="0">
                  <c:v>percentage of systems with maximum contaminant levels violations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Calculation!$B$1:$F$1</c:f>
              <c:strCache>
                <c:ptCount val="5"/>
                <c:pt idx="0">
                  <c:v>0~500</c:v>
                </c:pt>
                <c:pt idx="1">
                  <c:v>501~3300</c:v>
                </c:pt>
                <c:pt idx="2">
                  <c:v>3301~10000</c:v>
                </c:pt>
                <c:pt idx="3">
                  <c:v>10001~100000</c:v>
                </c:pt>
                <c:pt idx="4">
                  <c:v>&gt;100000</c:v>
                </c:pt>
              </c:strCache>
            </c:strRef>
          </c:cat>
          <c:val>
            <c:numRef>
              <c:f>Calculation!$B$6:$F$6</c:f>
              <c:numCache>
                <c:formatCode>0.00%</c:formatCode>
                <c:ptCount val="5"/>
                <c:pt idx="0">
                  <c:v>0.60040000000000004</c:v>
                </c:pt>
                <c:pt idx="1">
                  <c:v>0.62529999999999997</c:v>
                </c:pt>
                <c:pt idx="2">
                  <c:v>0.64859999999999995</c:v>
                </c:pt>
                <c:pt idx="3">
                  <c:v>0.64270000000000005</c:v>
                </c:pt>
                <c:pt idx="4">
                  <c:v>0.53410000000000002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4D-CC4E-9364-DAAB04717186}"/>
            </c:ext>
          </c:extLst>
        </c:ser>
        <c:ser>
          <c:idx val="2"/>
          <c:order val="2"/>
          <c:tx>
            <c:strRef>
              <c:f>Calculation!$A$7</c:f>
              <c:strCache>
                <c:ptCount val="1"/>
                <c:pt idx="0">
                  <c:v>percentage of systems with treatment technology violations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Calculation!$B$1:$F$1</c:f>
              <c:strCache>
                <c:ptCount val="5"/>
                <c:pt idx="0">
                  <c:v>0~500</c:v>
                </c:pt>
                <c:pt idx="1">
                  <c:v>501~3300</c:v>
                </c:pt>
                <c:pt idx="2">
                  <c:v>3301~10000</c:v>
                </c:pt>
                <c:pt idx="3">
                  <c:v>10001~100000</c:v>
                </c:pt>
                <c:pt idx="4">
                  <c:v>&gt;100000</c:v>
                </c:pt>
              </c:strCache>
            </c:strRef>
          </c:cat>
          <c:val>
            <c:numRef>
              <c:f>Calculation!$B$7:$F$7</c:f>
              <c:numCache>
                <c:formatCode>0.00%</c:formatCode>
                <c:ptCount val="5"/>
                <c:pt idx="0">
                  <c:v>9.4799999999999995E-2</c:v>
                </c:pt>
                <c:pt idx="1">
                  <c:v>0.19270000000000001</c:v>
                </c:pt>
                <c:pt idx="2">
                  <c:v>0.20269999999999999</c:v>
                </c:pt>
                <c:pt idx="3">
                  <c:v>0.18160000000000001</c:v>
                </c:pt>
                <c:pt idx="4">
                  <c:v>0.28410000000000002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4D-CC4E-9364-DAAB047171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32922015"/>
        <c:axId val="2034250431"/>
      </c:barChart>
      <c:catAx>
        <c:axId val="203292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Percentage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of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problematic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systems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250431"/>
        <c:crosses val="autoZero"/>
        <c:auto val="1"/>
        <c:lblAlgn val="ctr"/>
        <c:lblOffset val="100"/>
        <c:noMultiLvlLbl val="0"/>
      </c:catAx>
      <c:valAx>
        <c:axId val="203425043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3292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22</xdr:row>
      <xdr:rowOff>19050</xdr:rowOff>
    </xdr:from>
    <xdr:to>
      <xdr:col>17</xdr:col>
      <xdr:colOff>190500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FEF5E-A8EA-AB40-BCB0-ADE5B8492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742950</xdr:colOff>
      <xdr:row>6</xdr:row>
      <xdr:rowOff>158750</xdr:rowOff>
    </xdr:from>
    <xdr:to>
      <xdr:col>17</xdr:col>
      <xdr:colOff>596900</xdr:colOff>
      <xdr:row>27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D77BA-B6FD-C743-B230-95F3D4925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J27" sqref="J27"/>
    </sheetView>
  </sheetViews>
  <sheetFormatPr baseColWidth="10" defaultRowHeight="16"/>
  <cols>
    <col min="1" max="1" width="10.83203125" style="1"/>
    <col min="2" max="2" width="36.1640625" style="1" customWidth="1"/>
    <col min="3" max="16384" width="10.83203125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</v>
      </c>
    </row>
    <row r="2" spans="1:8">
      <c r="A2" s="1">
        <v>1</v>
      </c>
      <c r="B2" s="1" t="s">
        <v>6</v>
      </c>
      <c r="C2" s="1">
        <v>9475</v>
      </c>
      <c r="D2" s="1">
        <v>2939</v>
      </c>
      <c r="E2" s="1">
        <v>1066</v>
      </c>
      <c r="F2" s="1">
        <v>1732</v>
      </c>
      <c r="G2" s="1">
        <v>149</v>
      </c>
      <c r="H2" s="1">
        <f>SUM(C2:G2)</f>
        <v>15361</v>
      </c>
    </row>
    <row r="3" spans="1:8">
      <c r="A3" s="1">
        <v>2</v>
      </c>
      <c r="B3" s="1" t="s">
        <v>7</v>
      </c>
      <c r="C3" s="1">
        <v>8493</v>
      </c>
      <c r="D3" s="1">
        <v>2691</v>
      </c>
      <c r="E3" s="1">
        <v>975</v>
      </c>
      <c r="F3" s="1">
        <v>1636</v>
      </c>
      <c r="G3" s="1">
        <v>112</v>
      </c>
      <c r="H3" s="1">
        <f>SUM(C3:G3)</f>
        <v>13907</v>
      </c>
    </row>
    <row r="4" spans="1:8">
      <c r="A4" s="1">
        <v>3</v>
      </c>
      <c r="B4" s="1" t="s">
        <v>8</v>
      </c>
      <c r="C4" s="1">
        <v>982</v>
      </c>
      <c r="D4" s="1">
        <v>246</v>
      </c>
      <c r="E4" s="1">
        <v>91</v>
      </c>
      <c r="F4" s="1">
        <v>96</v>
      </c>
      <c r="G4" s="1">
        <v>37</v>
      </c>
      <c r="H4" s="1">
        <f t="shared" ref="H4:H8" si="0">SUM(C4:G4)</f>
        <v>1452</v>
      </c>
    </row>
    <row r="5" spans="1:8">
      <c r="A5" s="1">
        <v>4</v>
      </c>
      <c r="B5" s="1" t="s">
        <v>9</v>
      </c>
      <c r="C5" s="1">
        <v>1143</v>
      </c>
      <c r="D5" s="1">
        <v>326</v>
      </c>
      <c r="E5" s="1">
        <v>156</v>
      </c>
      <c r="F5" s="1">
        <v>246</v>
      </c>
      <c r="G5" s="1">
        <v>56</v>
      </c>
      <c r="H5" s="1">
        <f t="shared" si="0"/>
        <v>1927</v>
      </c>
    </row>
    <row r="6" spans="1:8">
      <c r="A6" s="1">
        <v>5</v>
      </c>
      <c r="B6" s="1" t="s">
        <v>10</v>
      </c>
      <c r="C6" s="1">
        <v>1070</v>
      </c>
      <c r="D6" s="1">
        <v>292</v>
      </c>
      <c r="E6" s="1">
        <v>144</v>
      </c>
      <c r="F6" s="1">
        <v>223</v>
      </c>
      <c r="G6" s="1">
        <v>47</v>
      </c>
      <c r="H6" s="1">
        <f t="shared" si="0"/>
        <v>1776</v>
      </c>
    </row>
    <row r="7" spans="1:8">
      <c r="A7" s="1">
        <v>6</v>
      </c>
      <c r="B7" s="1" t="s">
        <v>11</v>
      </c>
      <c r="C7" s="1">
        <v>169</v>
      </c>
      <c r="D7" s="1">
        <v>90</v>
      </c>
      <c r="E7" s="1">
        <v>45</v>
      </c>
      <c r="F7" s="1">
        <v>63</v>
      </c>
      <c r="G7" s="1">
        <v>25</v>
      </c>
      <c r="H7" s="1">
        <f t="shared" si="0"/>
        <v>392</v>
      </c>
    </row>
    <row r="8" spans="1:8">
      <c r="A8" s="1">
        <v>7</v>
      </c>
      <c r="B8" s="1" t="s">
        <v>12</v>
      </c>
      <c r="C8" s="1">
        <v>1782</v>
      </c>
      <c r="D8" s="1">
        <v>467</v>
      </c>
      <c r="E8" s="1">
        <v>222</v>
      </c>
      <c r="F8" s="1">
        <v>347</v>
      </c>
      <c r="G8" s="1">
        <v>88</v>
      </c>
      <c r="H8" s="1">
        <f t="shared" si="0"/>
        <v>2906</v>
      </c>
    </row>
    <row r="10" spans="1:8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13</v>
      </c>
    </row>
    <row r="11" spans="1:8">
      <c r="A11" s="1">
        <v>1</v>
      </c>
      <c r="B11" s="1" t="s">
        <v>6</v>
      </c>
      <c r="C11" s="2">
        <f>C2/H2</f>
        <v>0.6168218214959964</v>
      </c>
      <c r="D11" s="2">
        <f>D2/H2</f>
        <v>0.19132868953844151</v>
      </c>
      <c r="E11" s="2">
        <f>E2/H2</f>
        <v>6.939652366382397E-2</v>
      </c>
      <c r="F11" s="2">
        <f>F2/H2</f>
        <v>0.11275307597161643</v>
      </c>
      <c r="G11" s="2">
        <f>G2/H2</f>
        <v>9.699889330121737E-3</v>
      </c>
      <c r="H11" s="2">
        <f>SUM(C11:G11)</f>
        <v>1</v>
      </c>
    </row>
    <row r="12" spans="1:8">
      <c r="A12" s="1">
        <v>2</v>
      </c>
      <c r="B12" s="1" t="s">
        <v>7</v>
      </c>
      <c r="C12" s="2">
        <f>C3/H3</f>
        <v>0.61069964765945206</v>
      </c>
      <c r="D12" s="2">
        <f>D3/H3</f>
        <v>0.19349967642194579</v>
      </c>
      <c r="E12" s="2">
        <f>E3/H3</f>
        <v>7.0108578413748471E-2</v>
      </c>
      <c r="F12" s="2">
        <f>F3/H3</f>
        <v>0.11763859926655641</v>
      </c>
      <c r="G12" s="2">
        <f>G3/H3</f>
        <v>8.0534982382972596E-3</v>
      </c>
      <c r="H12" s="2">
        <f>SUM(C12:G12)</f>
        <v>1</v>
      </c>
    </row>
    <row r="13" spans="1:8">
      <c r="A13" s="1">
        <v>3</v>
      </c>
      <c r="B13" s="1" t="s">
        <v>8</v>
      </c>
      <c r="C13" s="2">
        <f>C4/H4</f>
        <v>0.67630853994490359</v>
      </c>
      <c r="D13" s="2">
        <f t="shared" ref="D13:D17" si="1">D4/H4</f>
        <v>0.16942148760330578</v>
      </c>
      <c r="E13" s="2">
        <f t="shared" ref="E13:E17" si="2">E4/H4</f>
        <v>6.267217630853994E-2</v>
      </c>
      <c r="F13" s="2">
        <f t="shared" ref="F13:F17" si="3">F4/H4</f>
        <v>6.6115702479338845E-2</v>
      </c>
      <c r="G13" s="2">
        <f t="shared" ref="G13:G17" si="4">G4/H4</f>
        <v>2.5482093663911846E-2</v>
      </c>
      <c r="H13" s="2">
        <f t="shared" ref="H13:H17" si="5">SUM(C13:G13)</f>
        <v>1</v>
      </c>
    </row>
    <row r="14" spans="1:8">
      <c r="A14" s="1">
        <v>4</v>
      </c>
      <c r="B14" s="1" t="s">
        <v>9</v>
      </c>
      <c r="C14" s="2">
        <f t="shared" ref="C14:C17" si="6">C5/H5</f>
        <v>0.59314997405293202</v>
      </c>
      <c r="D14" s="2">
        <f t="shared" si="1"/>
        <v>0.16917488323819407</v>
      </c>
      <c r="E14" s="2">
        <f t="shared" si="2"/>
        <v>8.0954852101712507E-2</v>
      </c>
      <c r="F14" s="2">
        <f t="shared" si="3"/>
        <v>0.1276595744680851</v>
      </c>
      <c r="G14" s="2">
        <f t="shared" si="4"/>
        <v>2.9060716139076286E-2</v>
      </c>
      <c r="H14" s="2">
        <f t="shared" si="5"/>
        <v>0.99999999999999989</v>
      </c>
    </row>
    <row r="15" spans="1:8">
      <c r="A15" s="1">
        <v>5</v>
      </c>
      <c r="B15" s="1" t="s">
        <v>10</v>
      </c>
      <c r="C15" s="2">
        <f t="shared" si="6"/>
        <v>0.60247747747747749</v>
      </c>
      <c r="D15" s="2">
        <f t="shared" si="1"/>
        <v>0.16441441441441443</v>
      </c>
      <c r="E15" s="2">
        <f t="shared" si="2"/>
        <v>8.1081081081081086E-2</v>
      </c>
      <c r="F15" s="2">
        <f t="shared" si="3"/>
        <v>0.12556306306306306</v>
      </c>
      <c r="G15" s="2">
        <f t="shared" si="4"/>
        <v>2.6463963963963964E-2</v>
      </c>
      <c r="H15" s="2">
        <f t="shared" si="5"/>
        <v>1</v>
      </c>
    </row>
    <row r="16" spans="1:8">
      <c r="A16" s="1">
        <v>6</v>
      </c>
      <c r="B16" s="1" t="s">
        <v>11</v>
      </c>
      <c r="C16" s="2">
        <f t="shared" si="6"/>
        <v>0.43112244897959184</v>
      </c>
      <c r="D16" s="2">
        <f t="shared" si="1"/>
        <v>0.22959183673469388</v>
      </c>
      <c r="E16" s="2">
        <f t="shared" si="2"/>
        <v>0.11479591836734694</v>
      </c>
      <c r="F16" s="2">
        <f t="shared" si="3"/>
        <v>0.16071428571428573</v>
      </c>
      <c r="G16" s="2">
        <f t="shared" si="4"/>
        <v>6.3775510204081634E-2</v>
      </c>
      <c r="H16" s="2">
        <f t="shared" si="5"/>
        <v>1</v>
      </c>
    </row>
    <row r="17" spans="1:8">
      <c r="A17" s="1">
        <v>7</v>
      </c>
      <c r="B17" s="1" t="s">
        <v>12</v>
      </c>
      <c r="C17" s="2">
        <f t="shared" si="6"/>
        <v>0.6132140399174123</v>
      </c>
      <c r="D17" s="2">
        <f t="shared" si="1"/>
        <v>0.16070199587061251</v>
      </c>
      <c r="E17" s="2">
        <f t="shared" si="2"/>
        <v>7.6393668272539572E-2</v>
      </c>
      <c r="F17" s="2">
        <f t="shared" si="3"/>
        <v>0.11940812112869924</v>
      </c>
      <c r="G17" s="2">
        <f t="shared" si="4"/>
        <v>3.0282174810736407E-2</v>
      </c>
      <c r="H17" s="2">
        <f t="shared" si="5"/>
        <v>1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selection activeCell="H13" sqref="H13"/>
    </sheetView>
  </sheetViews>
  <sheetFormatPr baseColWidth="10" defaultRowHeight="16"/>
  <cols>
    <col min="1" max="1" width="64.1640625" style="1" customWidth="1"/>
    <col min="2" max="16384" width="10.83203125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 t="s">
        <v>14</v>
      </c>
      <c r="B2" s="3">
        <v>8.2899999999999991</v>
      </c>
      <c r="C2" s="3">
        <v>9.02</v>
      </c>
      <c r="D2" s="3">
        <v>6.83</v>
      </c>
      <c r="E2" s="3">
        <v>7.04</v>
      </c>
      <c r="F2" s="3">
        <v>2.66</v>
      </c>
    </row>
    <row r="3" spans="1:6">
      <c r="A3" s="3" t="s">
        <v>15</v>
      </c>
      <c r="B3" s="3">
        <v>7.94</v>
      </c>
      <c r="C3" s="3">
        <v>9.2200000000000006</v>
      </c>
      <c r="D3" s="3">
        <v>6.77</v>
      </c>
      <c r="E3" s="3">
        <v>7.34</v>
      </c>
      <c r="F3" s="3">
        <v>2.38</v>
      </c>
    </row>
    <row r="4" spans="1:6">
      <c r="A4" s="3" t="s">
        <v>16</v>
      </c>
      <c r="B4" s="3">
        <v>5.81</v>
      </c>
      <c r="C4" s="3">
        <v>2.73</v>
      </c>
      <c r="D4" s="3">
        <v>2.02</v>
      </c>
      <c r="E4" s="3">
        <v>1.52</v>
      </c>
      <c r="F4" s="3">
        <v>1.48</v>
      </c>
    </row>
    <row r="5" spans="1:6">
      <c r="A5" s="3" t="s">
        <v>17</v>
      </c>
      <c r="B5" s="4">
        <v>0.64139999999999997</v>
      </c>
      <c r="C5" s="4">
        <v>0.69810000000000005</v>
      </c>
      <c r="D5" s="4">
        <v>0.70269999999999999</v>
      </c>
      <c r="E5" s="4">
        <v>0.70889999999999997</v>
      </c>
      <c r="F5" s="4">
        <v>0.63639999999999997</v>
      </c>
    </row>
    <row r="6" spans="1:6">
      <c r="A6" s="3" t="s">
        <v>18</v>
      </c>
      <c r="B6" s="4">
        <v>0.60040000000000004</v>
      </c>
      <c r="C6" s="4">
        <v>0.62529999999999997</v>
      </c>
      <c r="D6" s="4">
        <v>0.64859999999999995</v>
      </c>
      <c r="E6" s="4">
        <v>0.64270000000000005</v>
      </c>
      <c r="F6" s="4">
        <v>0.53410000000000002</v>
      </c>
    </row>
    <row r="7" spans="1:6">
      <c r="A7" s="3" t="s">
        <v>19</v>
      </c>
      <c r="B7" s="4">
        <v>9.4799999999999995E-2</v>
      </c>
      <c r="C7" s="4">
        <v>0.19270000000000001</v>
      </c>
      <c r="D7" s="4">
        <v>0.20269999999999999</v>
      </c>
      <c r="E7" s="4">
        <v>0.18160000000000001</v>
      </c>
      <c r="F7" s="4">
        <v>0.28410000000000002</v>
      </c>
    </row>
    <row r="11" spans="1:6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</row>
    <row r="12" spans="1:6">
      <c r="A12" s="3" t="s">
        <v>20</v>
      </c>
      <c r="B12" s="3">
        <v>108</v>
      </c>
      <c r="C12" s="3">
        <v>130</v>
      </c>
      <c r="D12" s="3">
        <v>90</v>
      </c>
      <c r="E12" s="3">
        <v>109</v>
      </c>
      <c r="F12" s="3">
        <v>87</v>
      </c>
    </row>
    <row r="13" spans="1:6">
      <c r="A13" s="3" t="s">
        <v>21</v>
      </c>
      <c r="B13" s="3">
        <v>8.2899999999999991</v>
      </c>
      <c r="C13" s="3">
        <v>9.02</v>
      </c>
      <c r="D13" s="3">
        <v>6.83</v>
      </c>
      <c r="E13" s="3">
        <v>7.04</v>
      </c>
      <c r="F13" s="3">
        <v>2.66</v>
      </c>
    </row>
    <row r="14" spans="1:6">
      <c r="A14" s="3" t="s">
        <v>22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</row>
    <row r="15" spans="1:6">
      <c r="A15" s="3" t="s">
        <v>23</v>
      </c>
      <c r="B15" s="3">
        <v>87</v>
      </c>
      <c r="C15" s="3">
        <v>130</v>
      </c>
      <c r="D15" s="3">
        <v>90</v>
      </c>
      <c r="E15" s="3">
        <v>109</v>
      </c>
      <c r="F15" s="3">
        <v>82</v>
      </c>
    </row>
    <row r="16" spans="1:6">
      <c r="A16" s="3" t="s">
        <v>24</v>
      </c>
      <c r="B16" s="3">
        <v>7.94</v>
      </c>
      <c r="C16" s="3">
        <v>9.2200000000000006</v>
      </c>
      <c r="D16" s="3">
        <v>6.77</v>
      </c>
      <c r="E16" s="3">
        <v>7.34</v>
      </c>
      <c r="F16" s="3">
        <v>2.38</v>
      </c>
    </row>
    <row r="17" spans="1:6">
      <c r="A17" s="3" t="s">
        <v>25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</row>
    <row r="18" spans="1:6">
      <c r="A18" s="3" t="s">
        <v>26</v>
      </c>
      <c r="B18" s="3">
        <v>107</v>
      </c>
      <c r="C18" s="3">
        <v>26</v>
      </c>
      <c r="D18" s="3">
        <v>9</v>
      </c>
      <c r="E18" s="3">
        <v>9</v>
      </c>
      <c r="F18" s="3">
        <v>5</v>
      </c>
    </row>
    <row r="19" spans="1:6">
      <c r="A19" s="3" t="s">
        <v>27</v>
      </c>
      <c r="B19" s="3">
        <v>5.81</v>
      </c>
      <c r="C19" s="3">
        <v>2.73</v>
      </c>
      <c r="D19" s="3">
        <v>2.02</v>
      </c>
      <c r="E19" s="3">
        <v>1.52</v>
      </c>
      <c r="F19" s="3">
        <v>1.48</v>
      </c>
    </row>
    <row r="20" spans="1:6">
      <c r="A20" s="3" t="s">
        <v>28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</row>
  </sheetData>
  <phoneticPr fontId="18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California Violation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蓝鑫</dc:creator>
  <cp:lastModifiedBy>蓝鑫</cp:lastModifiedBy>
  <dcterms:created xsi:type="dcterms:W3CDTF">2019-03-22T17:57:13Z</dcterms:created>
  <dcterms:modified xsi:type="dcterms:W3CDTF">2019-04-10T10:41:56Z</dcterms:modified>
</cp:coreProperties>
</file>